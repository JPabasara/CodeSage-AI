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paba\Desktop\Final product resources\CodeSage-AI\CodeSage-AI\docs\Deliverables\Testing\"/>
    </mc:Choice>
  </mc:AlternateContent>
  <xr:revisionPtr revIDLastSave="0" documentId="13_ncr:1_{5E22C0C6-E729-4F06-A4D1-6BD63A3A8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3" i="1"/>
  <c r="E32" i="1"/>
  <c r="E31" i="1"/>
  <c r="E30" i="1"/>
  <c r="E29" i="1"/>
  <c r="X10" i="1"/>
  <c r="X9" i="1"/>
  <c r="X8" i="1"/>
  <c r="X7" i="1"/>
  <c r="X6" i="1"/>
  <c r="X5" i="1"/>
  <c r="X4" i="1"/>
  <c r="X3" i="1"/>
  <c r="X2" i="1"/>
  <c r="C13" i="1" s="1"/>
</calcChain>
</file>

<file path=xl/sharedStrings.xml><?xml version="1.0" encoding="utf-8"?>
<sst xmlns="http://schemas.openxmlformats.org/spreadsheetml/2006/main" count="142" uniqueCount="71">
  <si>
    <t>Timestamp</t>
  </si>
  <si>
    <t>Email address</t>
  </si>
  <si>
    <t xml:space="preserve">Consent
</t>
  </si>
  <si>
    <t>Which best describes you?</t>
  </si>
  <si>
    <t>How often do you use GitHub?</t>
  </si>
  <si>
    <t>Have you used a code quality tool before ( eg: SonarQube, PMD or Codacy  )?</t>
  </si>
  <si>
    <t>Which tasks did you complete?
Tick every task you finished. It is fine if you skipped some.</t>
  </si>
  <si>
    <t>About how many minutes did the tasks take you?</t>
  </si>
  <si>
    <t>1. I think that I would like to use this system frequently.</t>
  </si>
  <si>
    <t>2. I found the system unnecessarily complex.</t>
  </si>
  <si>
    <t>3. I thought the system was easy to use.</t>
  </si>
  <si>
    <t>4. I think that I would need the support of a technical person to be able to use this system.</t>
  </si>
  <si>
    <t>5. I found the various functions in this system were well integrated.</t>
  </si>
  <si>
    <t>6. I thought there was too much inconsistency in this system.</t>
  </si>
  <si>
    <t>7. I would imagine that most people would learn to use this system very quickly.</t>
  </si>
  <si>
    <t>8. I found the system very cumbersome to use.</t>
  </si>
  <si>
    <t>9. I felt very confident using the system.</t>
  </si>
  <si>
    <t>10. I needed to learn a lot of things before I could get going with this system.</t>
  </si>
  <si>
    <t>What did you like most about CodeSage ?</t>
  </si>
  <si>
    <t>What was difficult, confusing or slow?</t>
  </si>
  <si>
    <t>What should we improve or add?</t>
  </si>
  <si>
    <t>Age group</t>
  </si>
  <si>
    <t>How useful was the guided trial?</t>
  </si>
  <si>
    <t>Average Score</t>
  </si>
  <si>
    <t/>
  </si>
  <si>
    <t>Yes, I agree to take part in this survey</t>
  </si>
  <si>
    <t>Undergraduate student (Computer Science, IT or Software Engineering)</t>
  </si>
  <si>
    <t>Daily</t>
  </si>
  <si>
    <t>No</t>
  </si>
  <si>
    <t>1. Create your account, 2. Take the guided trial, 3. Rename your workspace, 4. Add a Java repository, 5. Scan the repository, 6. Find the most urgent finding, 7. Change the scoring profile, 8. Open a saved scan, 9. Look something up (Support, then Product Guide), 10. Change the theme and sign out</t>
  </si>
  <si>
    <t>5 - 9 minutes</t>
  </si>
  <si>
    <t>easy navigation,  direct implementations, easy user experience and ui</t>
  </si>
  <si>
    <t>Help center in support too much descriptions, add some pictures as steps 
In dashboard couldnt find bottom bar</t>
  </si>
  <si>
    <t>Have support some example cases 
in dashboard make the bottom bar more visible</t>
  </si>
  <si>
    <t>20 - 24</t>
  </si>
  <si>
    <t>Somewhat useful</t>
  </si>
  <si>
    <t xml:space="preserve">The system is easy to use </t>
  </si>
  <si>
    <t xml:space="preserve">It took some time for me to find out the scan button        </t>
  </si>
  <si>
    <t xml:space="preserve">I think it is better if the faults are more descriptive like if you can add a graph or some kind of a thing to emphasize what file is affected and to which files it is connected </t>
  </si>
  <si>
    <t>Yes, a few times</t>
  </si>
  <si>
    <t>1. Create your account, 3. Rename your workspace, 4. Add a Java repository, 5. Scan the repository, 6. Find the most urgent finding, 7. Change the scoring profile, 8. Open a saved scan, 10. Change the theme and sign out</t>
  </si>
  <si>
    <t>detailed breakdown of file hierachy together with labels, and classified interface of labels.</t>
  </si>
  <si>
    <t>Little bit slow but it is a totally acceptable latency.</t>
  </si>
  <si>
    <t>Inside sign up Textbox, cursor is invisible, better to make it visible. Produce a report template of facts as Agentic LLM input so that, we can input it to the agent and do code debugging in the IDE.</t>
  </si>
  <si>
    <t>I skipped it</t>
  </si>
  <si>
    <t>Monthly</t>
  </si>
  <si>
    <t>10 - 14 minutes</t>
  </si>
  <si>
    <t>GitHub Link Scan part &amp; result giving part</t>
  </si>
  <si>
    <t xml:space="preserve">sometimes scanning part take more time </t>
  </si>
  <si>
    <t>Add more graphical visualizations, such as charts and diagrams, to make the results easier to understand.</t>
  </si>
  <si>
    <t>Very useful</t>
  </si>
  <si>
    <t>less than 5 minutes</t>
  </si>
  <si>
    <t xml:space="preserve">May be convert this into IDE addon </t>
  </si>
  <si>
    <t>40 or above</t>
  </si>
  <si>
    <t>15 - 20 minutes</t>
  </si>
  <si>
    <t>Weekly</t>
  </si>
  <si>
    <t>1. Create your account, 2. Take the guided trial, 4. Add a Java repository, 5. Scan the repository, 6. Find the most urgent finding, 8. Open a saved scan, 10. Change the theme and sign out</t>
  </si>
  <si>
    <t>Average SUS</t>
  </si>
  <si>
    <t>Statements</t>
  </si>
  <si>
    <t>Positive statements</t>
  </si>
  <si>
    <t>Like to use frequently</t>
  </si>
  <si>
    <t>Ease to use</t>
  </si>
  <si>
    <t>Well integrated</t>
  </si>
  <si>
    <t>Learn to use quickly</t>
  </si>
  <si>
    <t>Felt confident using</t>
  </si>
  <si>
    <t>Negative statements</t>
  </si>
  <si>
    <t>System is complex</t>
  </si>
  <si>
    <t>Need technical assistance</t>
  </si>
  <si>
    <t>System is inconsitance</t>
  </si>
  <si>
    <t>System is cumbersome</t>
  </si>
  <si>
    <t>Need prior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</si>
</sst>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000000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/>
    <xf numFmtId="0" fontId="3" fillId="0" borderId="0" xfId="0" applyFont="1" applyAlignment="1">
      <alignment horizontal="lef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 responses 1'!$E$28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'Form responses 1'!$D$29:$D$33</c:f>
              <c:strCache>
                <c:ptCount val="5"/>
                <c:pt idx="0">
                  <c:v>Like to use frequently</c:v>
                </c:pt>
                <c:pt idx="1">
                  <c:v>Ease to use</c:v>
                </c:pt>
                <c:pt idx="2">
                  <c:v>Well integrated</c:v>
                </c:pt>
                <c:pt idx="3">
                  <c:v>Learn to use quickly</c:v>
                </c:pt>
                <c:pt idx="4">
                  <c:v>Felt confident using</c:v>
                </c:pt>
              </c:strCache>
            </c:strRef>
          </c:cat>
          <c:val>
            <c:numRef>
              <c:f>'Form responses 1'!$E$29:$E$33</c:f>
              <c:numCache>
                <c:formatCode>General</c:formatCode>
                <c:ptCount val="5"/>
                <c:pt idx="0">
                  <c:v>73.333333333333329</c:v>
                </c:pt>
                <c:pt idx="1">
                  <c:v>80</c:v>
                </c:pt>
                <c:pt idx="2">
                  <c:v>82.222222222222214</c:v>
                </c:pt>
                <c:pt idx="3">
                  <c:v>80</c:v>
                </c:pt>
                <c:pt idx="4">
                  <c:v>73.333333333333329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A-4E40-9CD9-5DEF3DA9B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1814074"/>
        <c:axId val="1493911557"/>
      </c:barChart>
      <c:catAx>
        <c:axId val="18218140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3911557"/>
        <c:crosses val="autoZero"/>
        <c:auto val="1"/>
        <c:lblAlgn val="ctr"/>
        <c:lblOffset val="100"/>
        <c:noMultiLvlLbl val="1"/>
      </c:catAx>
      <c:valAx>
        <c:axId val="14939115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181407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 responses 1'!$E$37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'Form responses 1'!$D$38:$D$42</c:f>
              <c:strCache>
                <c:ptCount val="5"/>
                <c:pt idx="0">
                  <c:v>System is complex</c:v>
                </c:pt>
                <c:pt idx="1">
                  <c:v>Need technical assistance</c:v>
                </c:pt>
                <c:pt idx="2">
                  <c:v>System is inconsitance</c:v>
                </c:pt>
                <c:pt idx="3">
                  <c:v>System is cumbersome</c:v>
                </c:pt>
                <c:pt idx="4">
                  <c:v>Need prior learning</c:v>
                </c:pt>
              </c:strCache>
            </c:strRef>
          </c:cat>
          <c:val>
            <c:numRef>
              <c:f>'Form responses 1'!$E$38:$E$42</c:f>
              <c:numCache>
                <c:formatCode>General</c:formatCode>
                <c:ptCount val="5"/>
                <c:pt idx="0">
                  <c:v>35.555555555555557</c:v>
                </c:pt>
                <c:pt idx="1">
                  <c:v>33.333333333333336</c:v>
                </c:pt>
                <c:pt idx="2">
                  <c:v>31.111111111111111</c:v>
                </c:pt>
                <c:pt idx="3">
                  <c:v>33.333333333333336</c:v>
                </c:pt>
                <c:pt idx="4">
                  <c:v>33.333333333333336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B-47AC-BA58-7653460D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016379"/>
        <c:axId val="138137954"/>
      </c:barChart>
      <c:catAx>
        <c:axId val="12280163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137954"/>
        <c:crosses val="autoZero"/>
        <c:auto val="1"/>
        <c:lblAlgn val="ctr"/>
        <c:lblOffset val="100"/>
        <c:noMultiLvlLbl val="1"/>
      </c:catAx>
      <c:valAx>
        <c:axId val="1381379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801637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685800</xdr:colOff>
      <xdr:row>24</xdr:row>
      <xdr:rowOff>104775</xdr:rowOff>
    </xdr:from>
    <xdr:ext cx="4295775" cy="2647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685800</xdr:colOff>
      <xdr:row>38</xdr:row>
      <xdr:rowOff>142875</xdr:rowOff>
    </xdr:from>
    <xdr:ext cx="4295775" cy="26479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10">
  <tableColumns count="24">
    <tableColumn id="1" xr3:uid="{00000000-0010-0000-0000-000001000000}" name="Timestamp"/>
    <tableColumn id="2" xr3:uid="{00000000-0010-0000-0000-000002000000}" name="Email address"/>
    <tableColumn id="3" xr3:uid="{00000000-0010-0000-0000-000003000000}" name="Consent_x000a_"/>
    <tableColumn id="4" xr3:uid="{00000000-0010-0000-0000-000004000000}" name="Which best describes you?"/>
    <tableColumn id="5" xr3:uid="{00000000-0010-0000-0000-000005000000}" name="How often do you use GitHub?"/>
    <tableColumn id="6" xr3:uid="{00000000-0010-0000-0000-000006000000}" name="Have you used a code quality tool before ( eg: SonarQube, PMD or Codacy  )?"/>
    <tableColumn id="7" xr3:uid="{00000000-0010-0000-0000-000007000000}" name="Which tasks did you complete?_x000a_Tick every task you finished. It is fine if you skipped some."/>
    <tableColumn id="8" xr3:uid="{00000000-0010-0000-0000-000008000000}" name="About how many minutes did the tasks take you?"/>
    <tableColumn id="9" xr3:uid="{00000000-0010-0000-0000-000009000000}" name="1. I think that I would like to use this system frequently."/>
    <tableColumn id="10" xr3:uid="{00000000-0010-0000-0000-00000A000000}" name="2. I found the system unnecessarily complex."/>
    <tableColumn id="11" xr3:uid="{00000000-0010-0000-0000-00000B000000}" name="3. I thought the system was easy to use."/>
    <tableColumn id="12" xr3:uid="{00000000-0010-0000-0000-00000C000000}" name="4. I think that I would need the support of a technical person to be able to use this system."/>
    <tableColumn id="13" xr3:uid="{00000000-0010-0000-0000-00000D000000}" name="5. I found the various functions in this system were well integrated."/>
    <tableColumn id="14" xr3:uid="{00000000-0010-0000-0000-00000E000000}" name="6. I thought there was too much inconsistency in this system."/>
    <tableColumn id="15" xr3:uid="{00000000-0010-0000-0000-00000F000000}" name="7. I would imagine that most people would learn to use this system very quickly."/>
    <tableColumn id="16" xr3:uid="{00000000-0010-0000-0000-000010000000}" name="8. I found the system very cumbersome to use."/>
    <tableColumn id="17" xr3:uid="{00000000-0010-0000-0000-000011000000}" name="9. I felt very confident using the system."/>
    <tableColumn id="18" xr3:uid="{00000000-0010-0000-0000-000012000000}" name="10. I needed to learn a lot of things before I could get going with this system."/>
    <tableColumn id="19" xr3:uid="{00000000-0010-0000-0000-000013000000}" name="What did you like most about CodeSage ?"/>
    <tableColumn id="20" xr3:uid="{00000000-0010-0000-0000-000014000000}" name="What was difficult, confusing or slow?"/>
    <tableColumn id="21" xr3:uid="{00000000-0010-0000-0000-000015000000}" name="What should we improve or add?"/>
    <tableColumn id="22" xr3:uid="{00000000-0010-0000-0000-000016000000}" name="Age group"/>
    <tableColumn id="23" xr3:uid="{00000000-0010-0000-0000-000017000000}" name="How useful was the guided trial?"/>
    <tableColumn id="24" xr3:uid="{00000000-0010-0000-0000-000018000000}" name="Average Scor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2"/>
  <sheetViews>
    <sheetView tabSelected="1" workbookViewId="0">
      <pane ySplit="1" topLeftCell="A6" activePane="bottomLeft" state="frozen"/>
      <selection pane="bottomLeft" activeCell="E13" sqref="E13"/>
    </sheetView>
  </sheetViews>
  <sheetFormatPr defaultColWidth="12.6640625" defaultRowHeight="15.75" customHeight="1"/>
  <cols>
    <col min="1" max="2" width="18.88671875" customWidth="1"/>
    <col min="3" max="3" width="19.21875" customWidth="1"/>
    <col min="4" max="4" width="23.88671875" customWidth="1"/>
    <col min="5" max="5" width="27.33203125" customWidth="1"/>
    <col min="6" max="10" width="37.6640625" customWidth="1"/>
    <col min="11" max="11" width="34.33203125" customWidth="1"/>
    <col min="12" max="16" width="37.6640625" customWidth="1"/>
    <col min="17" max="17" width="34.109375" customWidth="1"/>
    <col min="18" max="19" width="37.6640625" customWidth="1"/>
    <col min="20" max="20" width="32.77734375" customWidth="1"/>
    <col min="21" max="21" width="103" customWidth="1"/>
    <col min="22" max="29" width="18.88671875" customWidth="1"/>
  </cols>
  <sheetData>
    <row r="1" spans="1:24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2.5" customHeight="1">
      <c r="A2" s="2">
        <v>46295.984582384262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>
        <v>3</v>
      </c>
      <c r="J2" s="3">
        <v>2</v>
      </c>
      <c r="K2" s="3">
        <v>5</v>
      </c>
      <c r="L2" s="3">
        <v>2</v>
      </c>
      <c r="M2" s="3">
        <v>4</v>
      </c>
      <c r="N2" s="3">
        <v>1</v>
      </c>
      <c r="O2" s="3">
        <v>4</v>
      </c>
      <c r="P2" s="3">
        <v>1</v>
      </c>
      <c r="Q2" s="3">
        <v>4</v>
      </c>
      <c r="R2" s="3">
        <v>2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35</v>
      </c>
      <c r="X2" s="3">
        <f t="shared" ref="X2:X10" si="0">((I2-1)+(5-J2)+(K2-1)+(5-L2)+(M2-1)+(5-N2)+(O2-1)+(5-P2)+(Q2-1)+(5-R2))*2.5</f>
        <v>80</v>
      </c>
    </row>
    <row r="3" spans="1:24" ht="22.5" customHeight="1">
      <c r="A3" s="2">
        <v>46296.048887048615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>
        <v>4</v>
      </c>
      <c r="J3" s="3">
        <v>2</v>
      </c>
      <c r="K3" s="3">
        <v>5</v>
      </c>
      <c r="L3" s="3">
        <v>2</v>
      </c>
      <c r="M3" s="3">
        <v>5</v>
      </c>
      <c r="N3" s="3">
        <v>2</v>
      </c>
      <c r="O3" s="3">
        <v>4</v>
      </c>
      <c r="P3" s="3">
        <v>2</v>
      </c>
      <c r="Q3" s="3">
        <v>4</v>
      </c>
      <c r="R3" s="3">
        <v>1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>
        <f t="shared" si="0"/>
        <v>82.5</v>
      </c>
    </row>
    <row r="4" spans="1:24" ht="22.5" customHeight="1">
      <c r="A4" s="2">
        <v>46296.275056099534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39</v>
      </c>
      <c r="G4" s="3" t="s">
        <v>40</v>
      </c>
      <c r="H4" s="3" t="s">
        <v>30</v>
      </c>
      <c r="I4" s="3">
        <v>3</v>
      </c>
      <c r="J4" s="3">
        <v>1</v>
      </c>
      <c r="K4" s="3">
        <v>3</v>
      </c>
      <c r="L4" s="3">
        <v>1</v>
      </c>
      <c r="M4" s="3">
        <v>3</v>
      </c>
      <c r="N4" s="3">
        <v>1</v>
      </c>
      <c r="O4" s="3">
        <v>5</v>
      </c>
      <c r="P4" s="3">
        <v>1</v>
      </c>
      <c r="Q4" s="3">
        <v>4</v>
      </c>
      <c r="R4" s="3">
        <v>1</v>
      </c>
      <c r="S4" s="3" t="s">
        <v>41</v>
      </c>
      <c r="T4" s="3" t="s">
        <v>42</v>
      </c>
      <c r="U4" s="3" t="s">
        <v>43</v>
      </c>
      <c r="V4" s="3" t="s">
        <v>34</v>
      </c>
      <c r="W4" s="3" t="s">
        <v>44</v>
      </c>
      <c r="X4" s="3">
        <f t="shared" si="0"/>
        <v>82.5</v>
      </c>
    </row>
    <row r="5" spans="1:24" ht="22.5" customHeight="1">
      <c r="A5" s="2">
        <v>46296.427616469911</v>
      </c>
      <c r="B5" s="3" t="s">
        <v>24</v>
      </c>
      <c r="C5" s="3" t="s">
        <v>25</v>
      </c>
      <c r="D5" s="3" t="s">
        <v>26</v>
      </c>
      <c r="E5" s="3" t="s">
        <v>45</v>
      </c>
      <c r="F5" s="3" t="s">
        <v>39</v>
      </c>
      <c r="G5" s="3" t="s">
        <v>29</v>
      </c>
      <c r="H5" s="3" t="s">
        <v>46</v>
      </c>
      <c r="I5" s="3">
        <v>4</v>
      </c>
      <c r="J5" s="3">
        <v>2</v>
      </c>
      <c r="K5" s="3">
        <v>3</v>
      </c>
      <c r="L5" s="3">
        <v>1</v>
      </c>
      <c r="M5" s="3">
        <v>4</v>
      </c>
      <c r="N5" s="3">
        <v>1</v>
      </c>
      <c r="O5" s="3">
        <v>4</v>
      </c>
      <c r="P5" s="3">
        <v>2</v>
      </c>
      <c r="Q5" s="3">
        <v>3</v>
      </c>
      <c r="R5" s="3">
        <v>2</v>
      </c>
      <c r="S5" s="3" t="s">
        <v>47</v>
      </c>
      <c r="T5" s="3" t="s">
        <v>48</v>
      </c>
      <c r="U5" s="3" t="s">
        <v>49</v>
      </c>
      <c r="V5" s="3" t="s">
        <v>34</v>
      </c>
      <c r="W5" s="3" t="s">
        <v>50</v>
      </c>
      <c r="X5" s="3">
        <f t="shared" si="0"/>
        <v>75</v>
      </c>
    </row>
    <row r="6" spans="1:24" ht="22.5" customHeight="1">
      <c r="A6" s="2">
        <v>46296.48048810185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40</v>
      </c>
      <c r="H6" s="3" t="s">
        <v>51</v>
      </c>
      <c r="I6" s="3">
        <v>2</v>
      </c>
      <c r="J6" s="3">
        <v>1</v>
      </c>
      <c r="K6" s="3">
        <v>4</v>
      </c>
      <c r="L6" s="3">
        <v>2</v>
      </c>
      <c r="M6" s="3">
        <v>4</v>
      </c>
      <c r="N6" s="3">
        <v>2</v>
      </c>
      <c r="O6" s="3">
        <v>5</v>
      </c>
      <c r="P6" s="3">
        <v>3</v>
      </c>
      <c r="Q6" s="3">
        <v>3</v>
      </c>
      <c r="R6" s="3">
        <v>1</v>
      </c>
      <c r="U6" s="3" t="s">
        <v>52</v>
      </c>
      <c r="V6" s="3" t="s">
        <v>53</v>
      </c>
      <c r="W6" s="3" t="s">
        <v>44</v>
      </c>
      <c r="X6" s="3">
        <f t="shared" si="0"/>
        <v>72.5</v>
      </c>
    </row>
    <row r="7" spans="1:24" ht="22.5" customHeight="1">
      <c r="A7" s="2">
        <v>46296.492641597222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3">
        <v>4</v>
      </c>
      <c r="J7" s="3">
        <v>2</v>
      </c>
      <c r="K7" s="3">
        <v>4</v>
      </c>
      <c r="L7" s="3">
        <v>1</v>
      </c>
      <c r="M7" s="3">
        <v>4</v>
      </c>
      <c r="N7" s="3">
        <v>2</v>
      </c>
      <c r="O7" s="3">
        <v>3</v>
      </c>
      <c r="P7" s="3">
        <v>1</v>
      </c>
      <c r="Q7" s="3">
        <v>4</v>
      </c>
      <c r="R7" s="3">
        <v>3</v>
      </c>
      <c r="V7" s="3" t="s">
        <v>34</v>
      </c>
      <c r="W7" s="3" t="s">
        <v>50</v>
      </c>
      <c r="X7" s="3">
        <f t="shared" si="0"/>
        <v>75</v>
      </c>
    </row>
    <row r="8" spans="1:24" ht="22.5" customHeight="1">
      <c r="A8" s="2">
        <v>46296.520951944447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39</v>
      </c>
      <c r="G8" s="3" t="s">
        <v>29</v>
      </c>
      <c r="H8" s="3" t="s">
        <v>54</v>
      </c>
      <c r="I8" s="3">
        <v>5</v>
      </c>
      <c r="J8" s="3">
        <v>1</v>
      </c>
      <c r="K8" s="3">
        <v>4</v>
      </c>
      <c r="L8" s="3">
        <v>2</v>
      </c>
      <c r="M8" s="3">
        <v>5</v>
      </c>
      <c r="N8" s="3">
        <v>1</v>
      </c>
      <c r="O8" s="3">
        <v>5</v>
      </c>
      <c r="P8" s="3">
        <v>1</v>
      </c>
      <c r="Q8" s="3">
        <v>4</v>
      </c>
      <c r="R8" s="3">
        <v>1</v>
      </c>
      <c r="V8" s="3" t="s">
        <v>34</v>
      </c>
      <c r="W8" s="3" t="s">
        <v>50</v>
      </c>
      <c r="X8" s="3">
        <f t="shared" si="0"/>
        <v>92.5</v>
      </c>
    </row>
    <row r="9" spans="1:24" ht="22.5" customHeight="1">
      <c r="A9" s="2">
        <v>46296.713536469906</v>
      </c>
      <c r="B9" s="3" t="s">
        <v>24</v>
      </c>
      <c r="C9" s="3" t="s">
        <v>25</v>
      </c>
      <c r="D9" s="3" t="s">
        <v>26</v>
      </c>
      <c r="E9" s="3" t="s">
        <v>55</v>
      </c>
      <c r="F9" s="3" t="s">
        <v>39</v>
      </c>
      <c r="G9" s="3" t="s">
        <v>56</v>
      </c>
      <c r="H9" s="3" t="s">
        <v>46</v>
      </c>
      <c r="I9" s="3">
        <v>5</v>
      </c>
      <c r="J9" s="3">
        <v>2</v>
      </c>
      <c r="K9" s="3">
        <v>5</v>
      </c>
      <c r="L9" s="3">
        <v>1</v>
      </c>
      <c r="M9" s="3">
        <v>5</v>
      </c>
      <c r="N9" s="3">
        <v>1</v>
      </c>
      <c r="O9" s="3">
        <v>4</v>
      </c>
      <c r="P9" s="3">
        <v>1</v>
      </c>
      <c r="Q9" s="3">
        <v>4</v>
      </c>
      <c r="R9" s="3">
        <v>1</v>
      </c>
      <c r="V9" s="3" t="s">
        <v>34</v>
      </c>
      <c r="W9" s="3" t="s">
        <v>50</v>
      </c>
      <c r="X9" s="3">
        <f t="shared" si="0"/>
        <v>92.5</v>
      </c>
    </row>
    <row r="10" spans="1:24" ht="22.5" customHeight="1">
      <c r="A10" s="2">
        <v>46296.776215613427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V10" s="3" t="s">
        <v>34</v>
      </c>
      <c r="W10" s="3" t="s">
        <v>35</v>
      </c>
      <c r="X10" s="3">
        <f t="shared" si="0"/>
        <v>50</v>
      </c>
    </row>
    <row r="13" spans="1:24" ht="13.2">
      <c r="B13" s="4" t="s">
        <v>57</v>
      </c>
      <c r="C13" s="5">
        <f>AVERAGE(Form_Responses[Average Score])</f>
        <v>78.055555555555557</v>
      </c>
    </row>
    <row r="15" spans="1:24" ht="13.2">
      <c r="B15" s="9" t="s">
        <v>58</v>
      </c>
      <c r="C15" s="10"/>
      <c r="D15" s="6"/>
      <c r="E15" s="6"/>
      <c r="F15" s="6"/>
    </row>
    <row r="16" spans="1:24" ht="15">
      <c r="B16" s="7" t="s">
        <v>8</v>
      </c>
      <c r="C16" s="6"/>
      <c r="D16" s="6"/>
      <c r="E16" s="6"/>
      <c r="F16" s="6"/>
    </row>
    <row r="17" spans="2:6" ht="15">
      <c r="B17" s="11" t="s">
        <v>9</v>
      </c>
      <c r="C17" s="10"/>
      <c r="D17" s="10"/>
      <c r="E17" s="10"/>
      <c r="F17" s="6"/>
    </row>
    <row r="18" spans="2:6" ht="15">
      <c r="B18" s="7" t="s">
        <v>10</v>
      </c>
      <c r="C18" s="6"/>
      <c r="D18" s="6"/>
      <c r="E18" s="6"/>
      <c r="F18" s="6"/>
    </row>
    <row r="19" spans="2:6" ht="15">
      <c r="B19" s="11" t="s">
        <v>11</v>
      </c>
      <c r="C19" s="10"/>
      <c r="D19" s="10"/>
      <c r="E19" s="10"/>
      <c r="F19" s="10"/>
    </row>
    <row r="20" spans="2:6" ht="15">
      <c r="B20" s="7" t="s">
        <v>12</v>
      </c>
      <c r="C20" s="6"/>
      <c r="D20" s="6"/>
      <c r="E20" s="6"/>
      <c r="F20" s="6"/>
    </row>
    <row r="21" spans="2:6" ht="15">
      <c r="B21" s="11" t="s">
        <v>13</v>
      </c>
      <c r="C21" s="10"/>
      <c r="D21" s="10"/>
      <c r="E21" s="10"/>
      <c r="F21" s="6"/>
    </row>
    <row r="22" spans="2:6" ht="15">
      <c r="B22" s="7" t="s">
        <v>14</v>
      </c>
      <c r="C22" s="6"/>
      <c r="D22" s="6"/>
      <c r="E22" s="6"/>
      <c r="F22" s="6"/>
    </row>
    <row r="23" spans="2:6" ht="15">
      <c r="B23" s="11" t="s">
        <v>15</v>
      </c>
      <c r="C23" s="10"/>
      <c r="D23" s="10"/>
      <c r="E23" s="10"/>
      <c r="F23" s="6"/>
    </row>
    <row r="24" spans="2:6" ht="15">
      <c r="B24" s="7" t="s">
        <v>16</v>
      </c>
      <c r="C24" s="6"/>
      <c r="D24" s="6"/>
      <c r="E24" s="6"/>
      <c r="F24" s="6"/>
    </row>
    <row r="25" spans="2:6" ht="15">
      <c r="B25" s="11" t="s">
        <v>17</v>
      </c>
      <c r="C25" s="10"/>
      <c r="D25" s="10"/>
      <c r="E25" s="10"/>
      <c r="F25" s="10"/>
    </row>
    <row r="26" spans="2:6" ht="13.2">
      <c r="B26" s="6"/>
      <c r="C26" s="6"/>
      <c r="D26" s="6"/>
      <c r="E26" s="6"/>
      <c r="F26" s="6"/>
    </row>
    <row r="27" spans="2:6" ht="13.2">
      <c r="B27" s="6"/>
      <c r="C27" s="6"/>
      <c r="D27" s="6"/>
      <c r="E27" s="6"/>
      <c r="F27" s="6"/>
    </row>
    <row r="28" spans="2:6" ht="13.2">
      <c r="B28" s="6"/>
      <c r="C28" s="9" t="s">
        <v>59</v>
      </c>
      <c r="D28" s="10"/>
      <c r="E28" s="6"/>
      <c r="F28" s="6"/>
    </row>
    <row r="29" spans="2:6" ht="13.2">
      <c r="B29" s="6"/>
      <c r="C29" s="8">
        <v>1</v>
      </c>
      <c r="D29" s="6" t="s">
        <v>60</v>
      </c>
      <c r="E29" s="8">
        <f>AVERAGE(Form_Responses[1. I think that I would like to use this system frequently.])*20</f>
        <v>73.333333333333329</v>
      </c>
      <c r="F29" s="6"/>
    </row>
    <row r="30" spans="2:6" ht="13.2">
      <c r="B30" s="6"/>
      <c r="C30" s="8">
        <v>3</v>
      </c>
      <c r="D30" s="6" t="s">
        <v>61</v>
      </c>
      <c r="E30" s="8">
        <f>AVERAGE(Form_Responses[3. I thought the system was easy to use.])*20</f>
        <v>80</v>
      </c>
      <c r="F30" s="6"/>
    </row>
    <row r="31" spans="2:6" ht="13.2">
      <c r="B31" s="6"/>
      <c r="C31" s="8">
        <v>5</v>
      </c>
      <c r="D31" s="6" t="s">
        <v>62</v>
      </c>
      <c r="E31" s="8">
        <f>AVERAGE(Form_Responses[5. I found the various functions in this system were well integrated.])*20</f>
        <v>82.222222222222214</v>
      </c>
      <c r="F31" s="6"/>
    </row>
    <row r="32" spans="2:6" ht="13.2">
      <c r="B32" s="6"/>
      <c r="C32" s="8">
        <v>7</v>
      </c>
      <c r="D32" s="6" t="s">
        <v>63</v>
      </c>
      <c r="E32" s="8">
        <f>AVERAGE(Form_Responses[3. I thought the system was easy to use.])*20</f>
        <v>80</v>
      </c>
      <c r="F32" s="6"/>
    </row>
    <row r="33" spans="2:6" ht="13.2">
      <c r="B33" s="6"/>
      <c r="C33" s="8">
        <v>9</v>
      </c>
      <c r="D33" s="6" t="s">
        <v>64</v>
      </c>
      <c r="E33" s="8">
        <f>AVERAGE(Form_Responses[9. I felt very confident using the system.])*20</f>
        <v>73.333333333333329</v>
      </c>
      <c r="F33" s="6"/>
    </row>
    <row r="34" spans="2:6" ht="13.2">
      <c r="B34" s="6"/>
      <c r="C34" s="6"/>
      <c r="D34" s="6"/>
      <c r="E34" s="6"/>
      <c r="F34" s="6"/>
    </row>
    <row r="35" spans="2:6" ht="13.2">
      <c r="B35" s="6"/>
      <c r="C35" s="6"/>
      <c r="D35" s="6"/>
      <c r="E35" s="6"/>
      <c r="F35" s="6"/>
    </row>
    <row r="36" spans="2:6" ht="13.2">
      <c r="B36" s="6"/>
      <c r="C36" s="6"/>
      <c r="D36" s="6"/>
      <c r="E36" s="6"/>
      <c r="F36" s="6"/>
    </row>
    <row r="37" spans="2:6" ht="13.2">
      <c r="B37" s="6"/>
      <c r="C37" s="9" t="s">
        <v>65</v>
      </c>
      <c r="D37" s="10"/>
      <c r="E37" s="6"/>
      <c r="F37" s="6"/>
    </row>
    <row r="38" spans="2:6" ht="13.2">
      <c r="B38" s="6"/>
      <c r="C38" s="8">
        <v>2</v>
      </c>
      <c r="D38" s="6" t="s">
        <v>66</v>
      </c>
      <c r="E38" s="8">
        <f>AVERAGE(Form_Responses[2. I found the system unnecessarily complex.])*20</f>
        <v>35.555555555555557</v>
      </c>
      <c r="F38" s="6"/>
    </row>
    <row r="39" spans="2:6" ht="13.2">
      <c r="B39" s="6"/>
      <c r="C39" s="8">
        <v>4</v>
      </c>
      <c r="D39" s="6" t="s">
        <v>67</v>
      </c>
      <c r="E39" s="8">
        <f>AVERAGE(Form_Responses[4. I think that I would need the support of a technical person to be able to use this system.])*20</f>
        <v>33.333333333333336</v>
      </c>
      <c r="F39" s="6"/>
    </row>
    <row r="40" spans="2:6" ht="13.2">
      <c r="B40" s="6"/>
      <c r="C40" s="8">
        <v>6</v>
      </c>
      <c r="D40" s="6" t="s">
        <v>68</v>
      </c>
      <c r="E40" s="8">
        <f>AVERAGE(Form_Responses[6. I thought there was too much inconsistency in this system.])*20</f>
        <v>31.111111111111111</v>
      </c>
      <c r="F40" s="6"/>
    </row>
    <row r="41" spans="2:6" ht="13.2">
      <c r="B41" s="6"/>
      <c r="C41" s="8">
        <v>8</v>
      </c>
      <c r="D41" s="6" t="s">
        <v>69</v>
      </c>
      <c r="E41" s="8">
        <f>AVERAGE(Form_Responses[8. I found the system very cumbersome to use.])*20</f>
        <v>33.333333333333336</v>
      </c>
      <c r="F41" s="6"/>
    </row>
    <row r="42" spans="2:6" ht="13.2">
      <c r="B42" s="6"/>
      <c r="C42" s="8">
        <v>10</v>
      </c>
      <c r="D42" s="6" t="s">
        <v>70</v>
      </c>
      <c r="E42" s="8">
        <f>AVERAGE(Form_Responses[10. I needed to learn a lot of things before I could get going with this system.])*20</f>
        <v>33.333333333333336</v>
      </c>
      <c r="F42" s="6"/>
    </row>
  </sheetData>
  <mergeCells count="8">
    <mergeCell ref="B25:F25"/>
    <mergeCell ref="C28:D28"/>
    <mergeCell ref="C37:D37"/>
    <mergeCell ref="B15:C15"/>
    <mergeCell ref="B17:E17"/>
    <mergeCell ref="B19:F19"/>
    <mergeCell ref="B21:E21"/>
    <mergeCell ref="B23:E2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Janidu Pabasara</cp:lastModifiedBy>
  <dcterms:modified xsi:type="dcterms:W3CDTF">2026-10-03T13:54:28Z</dcterms:modified>
</cp:coreProperties>
</file>